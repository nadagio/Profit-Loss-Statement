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https://d.docs.live.net/590d7aa67574fb84/Desktop/Busqueda Empleo/GreenGrowth/"/>
    </mc:Choice>
  </mc:AlternateContent>
  <xr:revisionPtr revIDLastSave="36" documentId="8_{A27F514D-927C-46EE-A5F4-60C4F94F7F1B}" xr6:coauthVersionLast="47" xr6:coauthVersionMax="47" xr10:uidLastSave="{ABD92CA8-86C9-44EC-A0E3-B002B09EF415}"/>
  <bookViews>
    <workbookView xWindow="-108" yWindow="-108" windowWidth="23256" windowHeight="12456" xr2:uid="{00000000-000D-0000-FFFF-FFFF00000000}"/>
  </bookViews>
  <sheets>
    <sheet name="Categories" sheetId="3" r:id="rId1"/>
    <sheet name="Year 4" sheetId="1" r:id="rId2"/>
    <sheet name="Overview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2" l="1"/>
  <c r="D22" i="2"/>
  <c r="C22" i="2"/>
  <c r="B22" i="2"/>
  <c r="N20" i="1"/>
  <c r="N18" i="1"/>
  <c r="N17" i="1"/>
  <c r="N16" i="1"/>
  <c r="N15" i="1"/>
  <c r="N14" i="1"/>
  <c r="N13" i="1"/>
  <c r="N12" i="1"/>
  <c r="N11" i="1"/>
  <c r="N10" i="1"/>
  <c r="N7" i="1"/>
  <c r="N6" i="1"/>
  <c r="N5" i="1"/>
  <c r="N4" i="1"/>
  <c r="N3" i="1"/>
</calcChain>
</file>

<file path=xl/sharedStrings.xml><?xml version="1.0" encoding="utf-8"?>
<sst xmlns="http://schemas.openxmlformats.org/spreadsheetml/2006/main" count="80" uniqueCount="39">
  <si>
    <t>Profit &amp; Loss Statement (in $)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</si>
  <si>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</si>
  <si>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</si>
  <si>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</si>
  <si>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</si>
  <si>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</si>
  <si>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</si>
  <si>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</si>
  <si>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</si>
  <si>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</si>
  <si>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</si>
  <si>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</si>
  <si>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</si>
  <si>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Revenue</t>
  </si>
  <si>
    <t>Consulting Fees</t>
  </si>
  <si>
    <t>Tax Preparation Fees</t>
  </si>
  <si>
    <t>Audit Services Fees</t>
  </si>
  <si>
    <t>Other Revenue</t>
  </si>
  <si>
    <t>Total Revenue</t>
  </si>
  <si>
    <t>Expenses</t>
  </si>
  <si>
    <t>Salaries and Wages</t>
  </si>
  <si>
    <t>Rent and Utilities</t>
  </si>
  <si>
    <t>Office Supplies</t>
  </si>
  <si>
    <t>Professional Development</t>
  </si>
  <si>
    <t>Marketing and Advertising</t>
  </si>
  <si>
    <t>Insurance</t>
  </si>
  <si>
    <t>Depreciation</t>
  </si>
  <si>
    <t>Miscellaneous Expenses</t>
  </si>
  <si>
    <t>Total Expenses</t>
  </si>
  <si>
    <t>Net Income</t>
  </si>
  <si>
    <t>Year 1</t>
  </si>
  <si>
    <t>Year 2</t>
  </si>
  <si>
    <t>Year 3</t>
  </si>
  <si>
    <t>Year 4</t>
  </si>
  <si>
    <t>EBITDA</t>
  </si>
  <si>
    <t>Revenues</t>
  </si>
  <si>
    <t>Category</t>
  </si>
  <si>
    <t>Type</t>
  </si>
  <si>
    <t>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</si>
</sst>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  <scheme val="minor"/>
    </font>
    <font>
      <sz val="10"/>
      <color theme="1"/>
      <name val="Söhne"/>
    </font>
    <font>
      <sz val="10"/>
      <color rgb="FF0D0D0D"/>
      <name val="Söhne"/>
    </font>
    <font>
      <sz val="10"/>
      <color theme="1"/>
      <name val="Arial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DEDED"/>
        <bgColor rgb="FFEDEDED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E3E3E3"/>
      </left>
      <right/>
      <top style="thin">
        <color rgb="FFE3E3E3"/>
      </top>
      <bottom style="thin">
        <color rgb="FFE3E3E3"/>
      </bottom>
      <diagonal/>
    </border>
    <border>
      <left/>
      <right/>
      <top/>
      <bottom style="thin">
        <color rgb="FF000000"/>
      </bottom>
      <diagonal/>
    </border>
    <border>
      <left style="thin">
        <color rgb="FFE3E3E3"/>
      </left>
      <right/>
      <top/>
      <bottom style="thin">
        <color rgb="FFE3E3E3"/>
      </bottom>
      <diagonal/>
    </border>
    <border>
      <left style="thin">
        <color rgb="FFE3E3E3"/>
      </left>
      <right style="thin">
        <color rgb="FFE3E3E3"/>
      </right>
      <top/>
      <bottom style="thin">
        <color rgb="FFE3E3E3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left"/>
    </xf>
    <xf numFmtId="0" fontId="2" fillId="3" borderId="4" xfId="0" applyFont="1" applyFill="1" applyBorder="1" applyAlignment="1">
      <alignment horizontal="left"/>
    </xf>
    <xf numFmtId="3" fontId="2" fillId="3" borderId="3" xfId="0" applyNumberFormat="1" applyFont="1" applyFill="1" applyBorder="1" applyAlignment="1">
      <alignment horizontal="left"/>
    </xf>
    <xf numFmtId="3" fontId="2" fillId="3" borderId="4" xfId="0" applyNumberFormat="1" applyFont="1" applyFill="1" applyBorder="1" applyAlignment="1">
      <alignment horizontal="left"/>
    </xf>
    <xf numFmtId="3" fontId="3" fillId="0" borderId="0" xfId="0" applyNumberFormat="1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8A5E7-5BAE-4B4B-8E4F-1AD961D58F8B}">
  <dimension ref="A1:C13"/>
  <sheetViews>
    <sheetView tabSelected="1" workbookViewId="0">
      <selection activeCell="A2" sqref="A2:A13"/>
    </sheetView>
  </sheetViews>
  <sheetFormatPr baseColWidth="10" defaultRowHeight="13.2"/>
  <cols>
    <col min="3" max="3" width="22.109375" bestFit="1" customWidth="1"/>
  </cols>
  <sheetData>
    <row r="1" spans="1:3">
      <c r="A1" s="9" t="s">
        <v>38</v>
      </c>
      <c r="B1" s="9" t="s">
        <v>37</v>
      </c>
      <c r="C1" s="9" t="s">
        <v>36</v>
      </c>
    </row>
    <row r="2" spans="1:3">
      <c r="A2" s="10">
        <v>1</v>
      </c>
      <c r="B2" t="s">
        <v>35</v>
      </c>
      <c r="C2" t="s">
        <v>14</v>
      </c>
    </row>
    <row r="3" spans="1:3">
      <c r="A3" s="10">
        <v>2</v>
      </c>
      <c r="B3" t="s">
        <v>35</v>
      </c>
      <c r="C3" t="s">
        <v>15</v>
      </c>
    </row>
    <row r="4" spans="1:3">
      <c r="A4" s="10">
        <v>3</v>
      </c>
      <c r="B4" t="s">
        <v>35</v>
      </c>
      <c r="C4" t="s">
        <v>16</v>
      </c>
    </row>
    <row r="5" spans="1:3">
      <c r="A5" s="10">
        <v>4</v>
      </c>
      <c r="B5" t="s">
        <v>35</v>
      </c>
      <c r="C5" t="s">
        <v>17</v>
      </c>
    </row>
    <row r="6" spans="1:3">
      <c r="A6" s="10">
        <v>5</v>
      </c>
      <c r="B6" t="s">
        <v>19</v>
      </c>
      <c r="C6" t="s">
        <v>20</v>
      </c>
    </row>
    <row r="7" spans="1:3">
      <c r="A7" s="10">
        <v>6</v>
      </c>
      <c r="B7" t="s">
        <v>19</v>
      </c>
      <c r="C7" t="s">
        <v>21</v>
      </c>
    </row>
    <row r="8" spans="1:3">
      <c r="A8" s="10">
        <v>7</v>
      </c>
      <c r="B8" t="s">
        <v>19</v>
      </c>
      <c r="C8" t="s">
        <v>22</v>
      </c>
    </row>
    <row r="9" spans="1:3">
      <c r="A9" s="10">
        <v>8</v>
      </c>
      <c r="B9" t="s">
        <v>19</v>
      </c>
      <c r="C9" t="s">
        <v>23</v>
      </c>
    </row>
    <row r="10" spans="1:3">
      <c r="A10" s="10">
        <v>9</v>
      </c>
      <c r="B10" t="s">
        <v>19</v>
      </c>
      <c r="C10" t="s">
        <v>24</v>
      </c>
    </row>
    <row r="11" spans="1:3">
      <c r="A11" s="10">
        <v>10</v>
      </c>
      <c r="B11" t="s">
        <v>19</v>
      </c>
      <c r="C11" t="s">
        <v>25</v>
      </c>
    </row>
    <row r="12" spans="1:3">
      <c r="A12" s="10">
        <v>11</v>
      </c>
      <c r="B12" t="s">
        <v>19</v>
      </c>
      <c r="C12" t="s">
        <v>27</v>
      </c>
    </row>
    <row r="13" spans="1:3">
      <c r="A13" s="10">
        <v>12</v>
      </c>
      <c r="B13" t="s">
        <v>26</v>
      </c>
      <c r="C13" t="s">
        <v>26</v>
      </c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20"/>
  <sheetViews>
    <sheetView workbookViewId="0">
      <selection activeCell="A18" sqref="A18"/>
    </sheetView>
  </sheetViews>
  <sheetFormatPr baseColWidth="10" defaultColWidth="12.6640625" defaultRowHeight="15.75" customHeight="1"/>
  <cols>
    <col min="1" max="1" width="22.77734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</row>
    <row r="2" spans="1:14">
      <c r="A2" s="3" t="s">
        <v>13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4"/>
    </row>
    <row r="3" spans="1:14">
      <c r="A3" s="3" t="s">
        <v>14</v>
      </c>
      <c r="B3" s="5">
        <v>30000</v>
      </c>
      <c r="C3" s="5">
        <v>32000</v>
      </c>
      <c r="D3" s="5">
        <v>35000</v>
      </c>
      <c r="E3" s="5">
        <v>32000</v>
      </c>
      <c r="F3" s="5">
        <v>34000</v>
      </c>
      <c r="G3" s="5">
        <v>36000</v>
      </c>
      <c r="H3" s="5">
        <v>38000</v>
      </c>
      <c r="I3" s="5">
        <v>40000</v>
      </c>
      <c r="J3" s="5">
        <v>42000</v>
      </c>
      <c r="K3" s="5">
        <v>45000</v>
      </c>
      <c r="L3" s="5">
        <v>48000</v>
      </c>
      <c r="M3" s="6">
        <v>50000</v>
      </c>
      <c r="N3" s="7">
        <f t="shared" ref="N3:N7" si="0">SUM(B3:M3)</f>
        <v>462000</v>
      </c>
    </row>
    <row r="4" spans="1:14">
      <c r="A4" s="3" t="s">
        <v>15</v>
      </c>
      <c r="B4" s="5">
        <v>20000</v>
      </c>
      <c r="C4" s="5">
        <v>22000</v>
      </c>
      <c r="D4" s="5">
        <v>25000</v>
      </c>
      <c r="E4" s="5">
        <v>23000</v>
      </c>
      <c r="F4" s="5">
        <v>24000</v>
      </c>
      <c r="G4" s="5">
        <v>26000</v>
      </c>
      <c r="H4" s="5">
        <v>28000</v>
      </c>
      <c r="I4" s="5">
        <v>30000</v>
      </c>
      <c r="J4" s="5">
        <v>32000</v>
      </c>
      <c r="K4" s="5">
        <v>34000</v>
      </c>
      <c r="L4" s="5">
        <v>36000</v>
      </c>
      <c r="M4" s="6">
        <v>38000</v>
      </c>
      <c r="N4" s="7">
        <f t="shared" si="0"/>
        <v>338000</v>
      </c>
    </row>
    <row r="5" spans="1:14">
      <c r="A5" s="3" t="s">
        <v>16</v>
      </c>
      <c r="B5" s="5">
        <v>15000</v>
      </c>
      <c r="C5" s="5">
        <v>16000</v>
      </c>
      <c r="D5" s="5">
        <v>18000</v>
      </c>
      <c r="E5" s="5">
        <v>17000</v>
      </c>
      <c r="F5" s="5">
        <v>18000</v>
      </c>
      <c r="G5" s="5">
        <v>19000</v>
      </c>
      <c r="H5" s="5">
        <v>20000</v>
      </c>
      <c r="I5" s="5">
        <v>22000</v>
      </c>
      <c r="J5" s="5">
        <v>24000</v>
      </c>
      <c r="K5" s="5">
        <v>26000</v>
      </c>
      <c r="L5" s="5">
        <v>28000</v>
      </c>
      <c r="M5" s="6">
        <v>30000</v>
      </c>
      <c r="N5" s="7">
        <f t="shared" si="0"/>
        <v>253000</v>
      </c>
    </row>
    <row r="6" spans="1:14">
      <c r="A6" s="3" t="s">
        <v>17</v>
      </c>
      <c r="B6" s="5">
        <v>5000</v>
      </c>
      <c r="C6" s="5">
        <v>5500</v>
      </c>
      <c r="D6" s="5">
        <v>6000</v>
      </c>
      <c r="E6" s="5">
        <v>5500</v>
      </c>
      <c r="F6" s="5">
        <v>5800</v>
      </c>
      <c r="G6" s="5">
        <v>6200</v>
      </c>
      <c r="H6" s="5">
        <v>6500</v>
      </c>
      <c r="I6" s="5">
        <v>7000</v>
      </c>
      <c r="J6" s="5">
        <v>7500</v>
      </c>
      <c r="K6" s="5">
        <v>8000</v>
      </c>
      <c r="L6" s="5">
        <v>8500</v>
      </c>
      <c r="M6" s="6">
        <v>9000</v>
      </c>
      <c r="N6" s="7">
        <f t="shared" si="0"/>
        <v>80500</v>
      </c>
    </row>
    <row r="7" spans="1:14">
      <c r="A7" s="3" t="s">
        <v>18</v>
      </c>
      <c r="B7" s="5">
        <v>70000</v>
      </c>
      <c r="C7" s="5">
        <v>75500</v>
      </c>
      <c r="D7" s="5">
        <v>84000</v>
      </c>
      <c r="E7" s="5">
        <v>77500</v>
      </c>
      <c r="F7" s="5">
        <v>81800</v>
      </c>
      <c r="G7" s="5">
        <v>87200</v>
      </c>
      <c r="H7" s="5">
        <v>92500</v>
      </c>
      <c r="I7" s="5">
        <v>99000</v>
      </c>
      <c r="J7" s="5">
        <v>105500</v>
      </c>
      <c r="K7" s="5">
        <v>113000</v>
      </c>
      <c r="L7" s="5">
        <v>120500</v>
      </c>
      <c r="M7" s="6">
        <v>127000</v>
      </c>
      <c r="N7" s="7">
        <f t="shared" si="0"/>
        <v>1133500</v>
      </c>
    </row>
    <row r="8" spans="1:14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4"/>
    </row>
    <row r="9" spans="1:14">
      <c r="A9" s="3" t="s">
        <v>19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4"/>
    </row>
    <row r="10" spans="1:14">
      <c r="A10" s="3" t="s">
        <v>20</v>
      </c>
      <c r="B10" s="5">
        <v>30000</v>
      </c>
      <c r="C10" s="5">
        <v>32000</v>
      </c>
      <c r="D10" s="5">
        <v>34000</v>
      </c>
      <c r="E10" s="5">
        <v>32000</v>
      </c>
      <c r="F10" s="5">
        <v>33000</v>
      </c>
      <c r="G10" s="5">
        <v>35000</v>
      </c>
      <c r="H10" s="5">
        <v>37000</v>
      </c>
      <c r="I10" s="5">
        <v>39000</v>
      </c>
      <c r="J10" s="5">
        <v>41000</v>
      </c>
      <c r="K10" s="5">
        <v>43000</v>
      </c>
      <c r="L10" s="5">
        <v>45000</v>
      </c>
      <c r="M10" s="6">
        <v>47000</v>
      </c>
      <c r="N10" s="7">
        <f t="shared" ref="N10:N18" si="1">SUM(B10:M10)</f>
        <v>448000</v>
      </c>
    </row>
    <row r="11" spans="1:14">
      <c r="A11" s="3" t="s">
        <v>21</v>
      </c>
      <c r="B11" s="5">
        <v>4000</v>
      </c>
      <c r="C11" s="5">
        <v>4500</v>
      </c>
      <c r="D11" s="5">
        <v>5000</v>
      </c>
      <c r="E11" s="5">
        <v>4500</v>
      </c>
      <c r="F11" s="5">
        <v>4800</v>
      </c>
      <c r="G11" s="5">
        <v>5200</v>
      </c>
      <c r="H11" s="5">
        <v>5500</v>
      </c>
      <c r="I11" s="5">
        <v>6000</v>
      </c>
      <c r="J11" s="5">
        <v>6500</v>
      </c>
      <c r="K11" s="5">
        <v>7000</v>
      </c>
      <c r="L11" s="5">
        <v>7500</v>
      </c>
      <c r="M11" s="6">
        <v>8000</v>
      </c>
      <c r="N11" s="7">
        <f t="shared" si="1"/>
        <v>68500</v>
      </c>
    </row>
    <row r="12" spans="1:14">
      <c r="A12" s="3" t="s">
        <v>22</v>
      </c>
      <c r="B12" s="5">
        <v>1500</v>
      </c>
      <c r="C12" s="5">
        <v>1800</v>
      </c>
      <c r="D12" s="5">
        <v>2000</v>
      </c>
      <c r="E12" s="5">
        <v>1800</v>
      </c>
      <c r="F12" s="5">
        <v>1900</v>
      </c>
      <c r="G12" s="5">
        <v>2100</v>
      </c>
      <c r="H12" s="5">
        <v>2200</v>
      </c>
      <c r="I12" s="5">
        <v>2400</v>
      </c>
      <c r="J12" s="5">
        <v>2600</v>
      </c>
      <c r="K12" s="5">
        <v>2800</v>
      </c>
      <c r="L12" s="5">
        <v>3000</v>
      </c>
      <c r="M12" s="6">
        <v>3200</v>
      </c>
      <c r="N12" s="7">
        <f t="shared" si="1"/>
        <v>27300</v>
      </c>
    </row>
    <row r="13" spans="1:14">
      <c r="A13" s="3" t="s">
        <v>23</v>
      </c>
      <c r="B13" s="3">
        <v>800</v>
      </c>
      <c r="C13" s="5">
        <v>1000</v>
      </c>
      <c r="D13" s="5">
        <v>1200</v>
      </c>
      <c r="E13" s="5">
        <v>1000</v>
      </c>
      <c r="F13" s="5">
        <v>1100</v>
      </c>
      <c r="G13" s="5">
        <v>1200</v>
      </c>
      <c r="H13" s="5">
        <v>1300</v>
      </c>
      <c r="I13" s="5">
        <v>1500</v>
      </c>
      <c r="J13" s="5">
        <v>1700</v>
      </c>
      <c r="K13" s="5">
        <v>1800</v>
      </c>
      <c r="L13" s="5">
        <v>2000</v>
      </c>
      <c r="M13" s="6">
        <v>2200</v>
      </c>
      <c r="N13" s="8">
        <f t="shared" si="1"/>
        <v>16800</v>
      </c>
    </row>
    <row r="14" spans="1:14">
      <c r="A14" s="3" t="s">
        <v>24</v>
      </c>
      <c r="B14" s="5">
        <v>2500</v>
      </c>
      <c r="C14" s="5">
        <v>3000</v>
      </c>
      <c r="D14" s="5">
        <v>3500</v>
      </c>
      <c r="E14" s="5">
        <v>3000</v>
      </c>
      <c r="F14" s="5">
        <v>3200</v>
      </c>
      <c r="G14" s="5">
        <v>3500</v>
      </c>
      <c r="H14" s="5">
        <v>3800</v>
      </c>
      <c r="I14" s="5">
        <v>4000</v>
      </c>
      <c r="J14" s="5">
        <v>4300</v>
      </c>
      <c r="K14" s="5">
        <v>4500</v>
      </c>
      <c r="L14" s="5">
        <v>4800</v>
      </c>
      <c r="M14" s="6">
        <v>5000</v>
      </c>
      <c r="N14" s="7">
        <f t="shared" si="1"/>
        <v>45100</v>
      </c>
    </row>
    <row r="15" spans="1:14">
      <c r="A15" s="3" t="s">
        <v>25</v>
      </c>
      <c r="B15" s="5">
        <v>1000</v>
      </c>
      <c r="C15" s="5">
        <v>1200</v>
      </c>
      <c r="D15" s="5">
        <v>1400</v>
      </c>
      <c r="E15" s="5">
        <v>1200</v>
      </c>
      <c r="F15" s="5">
        <v>1300</v>
      </c>
      <c r="G15" s="5">
        <v>1400</v>
      </c>
      <c r="H15" s="5">
        <v>1500</v>
      </c>
      <c r="I15" s="5">
        <v>1600</v>
      </c>
      <c r="J15" s="5">
        <v>1800</v>
      </c>
      <c r="K15" s="5">
        <v>1900</v>
      </c>
      <c r="L15" s="5">
        <v>2000</v>
      </c>
      <c r="M15" s="6">
        <v>2200</v>
      </c>
      <c r="N15" s="7">
        <f t="shared" si="1"/>
        <v>18500</v>
      </c>
    </row>
    <row r="16" spans="1:14">
      <c r="A16" s="3" t="s">
        <v>26</v>
      </c>
      <c r="B16" s="3">
        <v>800</v>
      </c>
      <c r="C16" s="5">
        <v>1000</v>
      </c>
      <c r="D16" s="5">
        <v>1200</v>
      </c>
      <c r="E16" s="5">
        <v>1000</v>
      </c>
      <c r="F16" s="5">
        <v>1100</v>
      </c>
      <c r="G16" s="5">
        <v>1200</v>
      </c>
      <c r="H16" s="5">
        <v>1300</v>
      </c>
      <c r="I16" s="5">
        <v>1500</v>
      </c>
      <c r="J16" s="5">
        <v>1700</v>
      </c>
      <c r="K16" s="5">
        <v>1800</v>
      </c>
      <c r="L16" s="5">
        <v>2000</v>
      </c>
      <c r="M16" s="6">
        <v>2200</v>
      </c>
      <c r="N16" s="8">
        <f t="shared" si="1"/>
        <v>16800</v>
      </c>
    </row>
    <row r="17" spans="1:14">
      <c r="A17" s="3" t="s">
        <v>27</v>
      </c>
      <c r="B17" s="3">
        <v>400</v>
      </c>
      <c r="C17" s="3">
        <v>500</v>
      </c>
      <c r="D17" s="3">
        <v>600</v>
      </c>
      <c r="E17" s="3">
        <v>500</v>
      </c>
      <c r="F17" s="3">
        <v>550</v>
      </c>
      <c r="G17" s="3">
        <v>600</v>
      </c>
      <c r="H17" s="3">
        <v>650</v>
      </c>
      <c r="I17" s="3">
        <v>700</v>
      </c>
      <c r="J17" s="3">
        <v>750</v>
      </c>
      <c r="K17" s="3">
        <v>800</v>
      </c>
      <c r="L17" s="3">
        <v>850</v>
      </c>
      <c r="M17" s="4">
        <v>900</v>
      </c>
      <c r="N17" s="8">
        <f t="shared" si="1"/>
        <v>7800</v>
      </c>
    </row>
    <row r="18" spans="1:14">
      <c r="A18" s="3" t="s">
        <v>28</v>
      </c>
      <c r="B18" s="5">
        <v>41400</v>
      </c>
      <c r="C18" s="5">
        <v>45000</v>
      </c>
      <c r="D18" s="5">
        <v>48900</v>
      </c>
      <c r="E18" s="5">
        <v>45000</v>
      </c>
      <c r="F18" s="5">
        <v>47850</v>
      </c>
      <c r="G18" s="5">
        <v>51200</v>
      </c>
      <c r="H18" s="5">
        <v>54350</v>
      </c>
      <c r="I18" s="5">
        <v>58700</v>
      </c>
      <c r="J18" s="5">
        <v>63950</v>
      </c>
      <c r="K18" s="5">
        <v>67550</v>
      </c>
      <c r="L18" s="5">
        <v>71150</v>
      </c>
      <c r="M18" s="6">
        <v>75700</v>
      </c>
      <c r="N18" s="7">
        <f t="shared" si="1"/>
        <v>670750</v>
      </c>
    </row>
    <row r="19" spans="1:14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4"/>
    </row>
    <row r="20" spans="1:14">
      <c r="A20" s="3" t="s">
        <v>29</v>
      </c>
      <c r="B20" s="5">
        <v>28600</v>
      </c>
      <c r="C20" s="5">
        <v>30500</v>
      </c>
      <c r="D20" s="5">
        <v>35100</v>
      </c>
      <c r="E20" s="5">
        <v>32500</v>
      </c>
      <c r="F20" s="5">
        <v>33950</v>
      </c>
      <c r="G20" s="5">
        <v>36000</v>
      </c>
      <c r="H20" s="5">
        <v>38150</v>
      </c>
      <c r="I20" s="5">
        <v>40300</v>
      </c>
      <c r="J20" s="5">
        <v>41550</v>
      </c>
      <c r="K20" s="5">
        <v>45450</v>
      </c>
      <c r="L20" s="5">
        <v>49350</v>
      </c>
      <c r="M20" s="6">
        <v>51300</v>
      </c>
      <c r="N20" s="7">
        <f>SUM(B20:M20)</f>
        <v>462750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22"/>
  <sheetViews>
    <sheetView topLeftCell="A7" workbookViewId="0"/>
  </sheetViews>
  <sheetFormatPr baseColWidth="10" defaultColWidth="12.6640625" defaultRowHeight="15.75" customHeight="1"/>
  <cols>
    <col min="1" max="1" width="22.77734375" customWidth="1"/>
    <col min="4" max="4" width="9.6640625" customWidth="1"/>
  </cols>
  <sheetData>
    <row r="1" spans="1:5">
      <c r="A1" s="1" t="s">
        <v>0</v>
      </c>
      <c r="B1" s="1" t="s">
        <v>30</v>
      </c>
      <c r="C1" s="1" t="s">
        <v>31</v>
      </c>
      <c r="D1" s="2" t="s">
        <v>32</v>
      </c>
      <c r="E1" s="2" t="s">
        <v>33</v>
      </c>
    </row>
    <row r="2" spans="1:5">
      <c r="A2" s="3" t="s">
        <v>13</v>
      </c>
      <c r="B2" s="3"/>
      <c r="C2" s="3"/>
      <c r="D2" s="4"/>
    </row>
    <row r="3" spans="1:5">
      <c r="A3" s="3" t="s">
        <v>14</v>
      </c>
      <c r="B3" s="5">
        <v>250000</v>
      </c>
      <c r="C3" s="5">
        <v>280000</v>
      </c>
      <c r="D3" s="6">
        <v>320000</v>
      </c>
      <c r="E3" s="7">
        <v>462000</v>
      </c>
    </row>
    <row r="4" spans="1:5">
      <c r="A4" s="3" t="s">
        <v>15</v>
      </c>
      <c r="B4" s="5">
        <v>180000</v>
      </c>
      <c r="C4" s="5">
        <v>200000</v>
      </c>
      <c r="D4" s="6">
        <v>220000</v>
      </c>
      <c r="E4" s="7">
        <v>338000</v>
      </c>
    </row>
    <row r="5" spans="1:5">
      <c r="A5" s="3" t="s">
        <v>16</v>
      </c>
      <c r="B5" s="5">
        <v>120000</v>
      </c>
      <c r="C5" s="5">
        <v>140000</v>
      </c>
      <c r="D5" s="6">
        <v>160000</v>
      </c>
      <c r="E5" s="7">
        <v>253000</v>
      </c>
    </row>
    <row r="6" spans="1:5">
      <c r="A6" s="3" t="s">
        <v>17</v>
      </c>
      <c r="B6" s="5">
        <v>30000</v>
      </c>
      <c r="C6" s="5">
        <v>35000</v>
      </c>
      <c r="D6" s="6">
        <v>40000</v>
      </c>
      <c r="E6" s="7">
        <v>80500</v>
      </c>
    </row>
    <row r="7" spans="1:5">
      <c r="A7" s="3" t="s">
        <v>18</v>
      </c>
      <c r="B7" s="5">
        <v>580000</v>
      </c>
      <c r="C7" s="5">
        <v>655000</v>
      </c>
      <c r="D7" s="6">
        <v>740000</v>
      </c>
      <c r="E7" s="7">
        <v>1133500</v>
      </c>
    </row>
    <row r="8" spans="1:5">
      <c r="A8" s="3"/>
      <c r="B8" s="3"/>
      <c r="C8" s="3"/>
      <c r="D8" s="4"/>
    </row>
    <row r="9" spans="1:5">
      <c r="A9" s="3" t="s">
        <v>19</v>
      </c>
      <c r="B9" s="3"/>
      <c r="C9" s="3"/>
      <c r="D9" s="4"/>
    </row>
    <row r="10" spans="1:5">
      <c r="A10" s="3" t="s">
        <v>20</v>
      </c>
      <c r="B10" s="5">
        <v>280000</v>
      </c>
      <c r="C10" s="5">
        <v>320000</v>
      </c>
      <c r="D10" s="6">
        <v>360000</v>
      </c>
      <c r="E10" s="7">
        <v>448000</v>
      </c>
    </row>
    <row r="11" spans="1:5">
      <c r="A11" s="3" t="s">
        <v>21</v>
      </c>
      <c r="B11" s="5">
        <v>40000</v>
      </c>
      <c r="C11" s="5">
        <v>45000</v>
      </c>
      <c r="D11" s="6">
        <v>50000</v>
      </c>
      <c r="E11" s="7">
        <v>68500</v>
      </c>
    </row>
    <row r="12" spans="1:5">
      <c r="A12" s="3" t="s">
        <v>22</v>
      </c>
      <c r="B12" s="5">
        <v>15000</v>
      </c>
      <c r="C12" s="5">
        <v>18000</v>
      </c>
      <c r="D12" s="6">
        <v>20000</v>
      </c>
      <c r="E12" s="7">
        <v>27300</v>
      </c>
    </row>
    <row r="13" spans="1:5">
      <c r="A13" s="3" t="s">
        <v>23</v>
      </c>
      <c r="B13" s="5">
        <v>8000</v>
      </c>
      <c r="C13" s="5">
        <v>10000</v>
      </c>
      <c r="D13" s="6">
        <v>12000</v>
      </c>
      <c r="E13" s="7">
        <v>38750</v>
      </c>
    </row>
    <row r="14" spans="1:5">
      <c r="A14" s="3" t="s">
        <v>24</v>
      </c>
      <c r="B14" s="5">
        <v>25000</v>
      </c>
      <c r="C14" s="5">
        <v>30000</v>
      </c>
      <c r="D14" s="6">
        <v>35000</v>
      </c>
      <c r="E14" s="7">
        <v>45100</v>
      </c>
    </row>
    <row r="15" spans="1:5">
      <c r="A15" s="3" t="s">
        <v>25</v>
      </c>
      <c r="B15" s="5">
        <v>12000</v>
      </c>
      <c r="C15" s="5">
        <v>14000</v>
      </c>
      <c r="D15" s="6">
        <v>16000</v>
      </c>
      <c r="E15" s="7">
        <v>18500</v>
      </c>
    </row>
    <row r="16" spans="1:5">
      <c r="A16" s="3" t="s">
        <v>26</v>
      </c>
      <c r="B16" s="5">
        <v>10000</v>
      </c>
      <c r="C16" s="5">
        <v>12000</v>
      </c>
      <c r="D16" s="6">
        <v>14000</v>
      </c>
      <c r="E16" s="8">
        <v>16800</v>
      </c>
    </row>
    <row r="17" spans="1:5">
      <c r="A17" s="3" t="s">
        <v>27</v>
      </c>
      <c r="B17" s="5">
        <v>5000</v>
      </c>
      <c r="C17" s="5">
        <v>6000</v>
      </c>
      <c r="D17" s="6">
        <v>7000</v>
      </c>
      <c r="E17" s="8">
        <v>7800</v>
      </c>
    </row>
    <row r="18" spans="1:5">
      <c r="A18" s="3" t="s">
        <v>28</v>
      </c>
      <c r="B18" s="5">
        <v>395000</v>
      </c>
      <c r="C18" s="5">
        <v>455000</v>
      </c>
      <c r="D18" s="6">
        <v>514000</v>
      </c>
      <c r="E18" s="7">
        <v>670750</v>
      </c>
    </row>
    <row r="19" spans="1:5">
      <c r="A19" s="3"/>
      <c r="B19" s="3"/>
      <c r="C19" s="3"/>
      <c r="D19" s="4"/>
    </row>
    <row r="20" spans="1:5">
      <c r="A20" s="3" t="s">
        <v>29</v>
      </c>
      <c r="B20" s="5">
        <v>185000</v>
      </c>
      <c r="C20" s="5">
        <v>200000</v>
      </c>
      <c r="D20" s="6">
        <v>226000</v>
      </c>
      <c r="E20" s="7">
        <v>462750</v>
      </c>
    </row>
    <row r="22" spans="1:5">
      <c r="A22" s="8" t="s">
        <v>34</v>
      </c>
      <c r="B22" s="7">
        <f t="shared" ref="B22:E22" si="0">SUM(B3:B6)-SUM(B10:B17)+B16</f>
        <v>195000</v>
      </c>
      <c r="C22" s="7">
        <f t="shared" si="0"/>
        <v>212000</v>
      </c>
      <c r="D22" s="7">
        <f t="shared" si="0"/>
        <v>240000</v>
      </c>
      <c r="E22" s="7">
        <f t="shared" si="0"/>
        <v>479550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Categories</vt:lpstr>
      <vt:lpstr>Year 4</vt:lpstr>
      <vt:lpstr>Overview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Noelia Adagio</dc:creator>
  <cp:lastModifiedBy>Noelia Adagio</cp:lastModifiedBy>
  <dcterms:created xsi:type="dcterms:W3CDTF">2025-01-31T22:27:54Z</dcterms:created>
  <dcterms:modified xsi:type="dcterms:W3CDTF">2025-02-04T23:30:06Z</dcterms:modified>
</cp:coreProperties>
</file>